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ontexto" sheetId="2" r:id="rId6"/>
    <sheet state="visible" name="Pacientes" sheetId="3" r:id="rId7"/>
    <sheet state="visible" name="CRM_Inbox" sheetId="4" r:id="rId8"/>
    <sheet state="visible" name="Intervenciones" sheetId="5" r:id="rId9"/>
    <sheet state="visible" name="Metrics" sheetId="6" r:id="rId10"/>
  </sheets>
  <definedNames/>
  <calcPr/>
</workbook>
</file>

<file path=xl/sharedStrings.xml><?xml version="1.0" encoding="utf-8"?>
<sst xmlns="http://schemas.openxmlformats.org/spreadsheetml/2006/main" count="274" uniqueCount="205">
  <si>
    <t>🏥  Omnichannel AI Scheduler — Medical Clinic</t>
  </si>
  <si>
    <t xml:space="preserve">  Sistema de captación y agendado 100% automatizado y omnicanal para clínicas de medicina estética</t>
  </si>
  <si>
    <t xml:space="preserve">  💬  Conversaciones</t>
  </si>
  <si>
    <t xml:space="preserve">  👥  Pacientes</t>
  </si>
  <si>
    <t xml:space="preserve">  ✅  Citas Confirmadas</t>
  </si>
  <si>
    <t xml:space="preserve">  🚨  Escalados Pendientes</t>
  </si>
  <si>
    <t xml:space="preserve">  📊  Estructura del Spreadsheet</t>
  </si>
  <si>
    <t>Hoja</t>
  </si>
  <si>
    <t>Propósito</t>
  </si>
  <si>
    <t>Detalle</t>
  </si>
  <si>
    <t>Quién escribe</t>
  </si>
  <si>
    <t>📋 Contexto</t>
  </si>
  <si>
    <t>Historial activo por conversación</t>
  </si>
  <si>
    <t>Leída y escrita por el bot en cada mensaje</t>
  </si>
  <si>
    <t>Bot (n8n)</t>
  </si>
  <si>
    <t>👥 Pacientes</t>
  </si>
  <si>
    <t>Índice cross-canal por teléfono normalizado</t>
  </si>
  <si>
    <t>Vincula al mismo paciente en WhatsApp, Instagram y Facebook</t>
  </si>
  <si>
    <t>📥 CRM_Inbox</t>
  </si>
  <si>
    <t>Bandeja unificada de todos los eventos</t>
  </si>
  <si>
    <t>ESCALADO, CITA_CONFIRMADA, MENSAJE, INTENTO_AGENDAR...</t>
  </si>
  <si>
    <t>Bot + Staff</t>
  </si>
  <si>
    <t>🎛️ Intervenciones</t>
  </si>
  <si>
    <t>Control de toma manual por el staff</t>
  </si>
  <si>
    <t>activa=TRUE silencia el bot para esa conversación</t>
  </si>
  <si>
    <t>Staff (manual)</t>
  </si>
  <si>
    <t xml:space="preserve">  ⚙️  Variables de Entorno Requeridas en n8n</t>
  </si>
  <si>
    <t>Variable</t>
  </si>
  <si>
    <t>Dónde obtenerla</t>
  </si>
  <si>
    <t>Descripción</t>
  </si>
  <si>
    <t>Estado</t>
  </si>
  <si>
    <t>GEMINI_API_KEY</t>
  </si>
  <si>
    <t>Google AI Studio</t>
  </si>
  <si>
    <t>API key para el modelo de lenguaje Gemini 2.5 Flash</t>
  </si>
  <si>
    <t>Obligatoria</t>
  </si>
  <si>
    <t>WHATSAPP_PHONE_NUMBER_ID</t>
  </si>
  <si>
    <t>Meta for Developers</t>
  </si>
  <si>
    <t>ID del número de teléfono de WhatsApp Business</t>
  </si>
  <si>
    <t>WHATSAPP_ACCESS_TOKEN</t>
  </si>
  <si>
    <t>Token de acceso permanente para enviar mensajes vía WhatsApp</t>
  </si>
  <si>
    <t>INSTAGRAM_PAGE_ID</t>
  </si>
  <si>
    <t>ID de la página de Facebook vinculada a Instagram</t>
  </si>
  <si>
    <t>FACEBOOK_PAGE_ID</t>
  </si>
  <si>
    <t>ID de la página de Facebook para Messenger</t>
  </si>
  <si>
    <t>META_ACCESS_TOKEN</t>
  </si>
  <si>
    <t>Token de página (válido para Instagram DMs y Facebook Messenger)</t>
  </si>
  <si>
    <t>META_VERIFY_TOKEN</t>
  </si>
  <si>
    <t>Tú lo defines</t>
  </si>
  <si>
    <t>Token secreto para verificación GET de webhooks de Meta</t>
  </si>
  <si>
    <t>STAFF_EMAIL</t>
  </si>
  <si>
    <t>Tu email de trabajo</t>
  </si>
  <si>
    <t>Dirección donde llegan alertas de escalados y citas</t>
  </si>
  <si>
    <t>Recomendada</t>
  </si>
  <si>
    <t>STAFF_WEBHOOK_URL</t>
  </si>
  <si>
    <t>Slack / Teams / Discord</t>
  </si>
  <si>
    <t>URL de incoming webhook para alertas instantáneas al equipo</t>
  </si>
  <si>
    <t>Opcional</t>
  </si>
  <si>
    <t xml:space="preserve">  🔄  Flujo de Agendado Multi-turno (Máquina de Estados)</t>
  </si>
  <si>
    <t>Etapa</t>
  </si>
  <si>
    <t>Qué hace el bot</t>
  </si>
  <si>
    <t>inicio</t>
  </si>
  <si>
    <t>Clasificación de intención por IA (AGENDAR, CONSULTA, ESCALAR, CANCELAR, CAMBIAR)</t>
  </si>
  <si>
    <t>triaje</t>
  </si>
  <si>
    <t>Filtro de seguridad médica</t>
  </si>
  <si>
    <t>recopilando_nombre</t>
  </si>
  <si>
    <t>"¿Cuál es tu nombre completo?"</t>
  </si>
  <si>
    <t>recopilando_telefono</t>
  </si>
  <si>
    <t>"¿Cuál es tu número de teléfono?"</t>
  </si>
  <si>
    <t>mostrando_slots</t>
  </si>
  <si>
    <t>Muestra hasta 6 huecos libres reales del Google Calendar</t>
  </si>
  <si>
    <t>confirmando_cita</t>
  </si>
  <si>
    <t>Muestra resumen con: nombre, teléfono, tratamiento, fecha, hora, dirección.
"¿Confirmas la cita? Responde SÍ o NO"</t>
  </si>
  <si>
    <t>agendado</t>
  </si>
  <si>
    <t>Crea evento en Google Calendar + mensaje de confirmación</t>
  </si>
  <si>
    <t>escalar</t>
  </si>
  <si>
    <t>Derivación a atención humana</t>
  </si>
  <si>
    <t>conversation_id</t>
  </si>
  <si>
    <t>from</t>
  </si>
  <si>
    <t>channel</t>
  </si>
  <si>
    <t>user_name</t>
  </si>
  <si>
    <t>stage</t>
  </si>
  <si>
    <t>history</t>
  </si>
  <si>
    <t>metadata</t>
  </si>
  <si>
    <t>message_count</t>
  </si>
  <si>
    <t>last_intencion</t>
  </si>
  <si>
    <t>last_servicio</t>
  </si>
  <si>
    <t>cita_confirmada</t>
  </si>
  <si>
    <t>calendar_event_id</t>
  </si>
  <si>
    <t>escalar_humano</t>
  </si>
  <si>
    <t>last_activity</t>
  </si>
  <si>
    <t>patient_id</t>
  </si>
  <si>
    <t>lead_score</t>
  </si>
  <si>
    <t>slots_filtrados</t>
  </si>
  <si>
    <t>test:cliente_test_014</t>
  </si>
  <si>
    <t>cliente_test_014</t>
  </si>
  <si>
    <t>test</t>
  </si>
  <si>
    <t>Laura García</t>
  </si>
  <si>
    <t>[{"role":"user","content":"Hola, quiero hablar con una persona","timestamp":"2026-05-17T23:07:23.520Z"},{"role":"assistant","content":"Gracias por contactarnos.\n\nVoy a derivar la consulta a un miembro del equipo para que pueda ayudarte personalmente.\n\nEn breve se pondrán en contacto contigo.\n\nReferencia: test:cliente_test_014","timestamp":"2026-05-17T23:07:25.773Z"}]</t>
  </si>
  <si>
    <t>{"tratamientos_interes":[],"edad":null,"condiciones":[],"nombre":null,"telefono":null,"aptitudVerificada":false,"slotPropuesto":null,"slotsDisponiblesFiltrados":[],"motivoEscalado":"Usuario solicita hablar con una persona","human_takeover":true,"human_takeover_reason":"Usuario solicita hablar con una persona","human_takeover_at":"2026-05-17T23:07:25.667Z"}</t>
  </si>
  <si>
    <t>ESCALAR_HUMANO</t>
  </si>
  <si>
    <t>2026-05-17T23:07:25.774Z</t>
  </si>
  <si>
    <t>PAC-1779059243520-W30E0</t>
  </si>
  <si>
    <t>[]</t>
  </si>
  <si>
    <t>whatsapp:34665900800</t>
  </si>
  <si>
    <t>whatsapp</t>
  </si>
  <si>
    <t>Paciente Whatsapp</t>
  </si>
  <si>
    <t>[{"role":"assistant","content":"Contexto reiniciado ✅ ¿En qué puedo ayudarte?","timestamp":"2026-05-19T11:14:28.842Z"},{"role":"assistant","content":"Perfecto! Me alegra que estés interesado/a en nuestros tratamientos 😊\n\nAntes de agendar tu cita, necesito hacerte unas preguntas rápidas para asegurarme de que el tratamiento es el adecuado para ti.\n\n¿Cuál es tu edad aproximada?","timestamp":"2026-05-19T11:14:53.212Z"},{"role":"assistant","content":"Perfecto, gracias! ✅\n\n¿Cuál es tu nombre completo para la reserva?","timestamp":"2026-05-19T11:15:17.619Z"},{"role":"assistant","content":"Encantada, Kevin García! 😊\n\n¿Cuál es tu número de teléfono de contacto? (Para confirmarte la cita)","timestamp":"2026-05-19T11:15:35.130Z"},{"role":"assistant","content":"Ese número no parece válido. ¿Puedes escribirme tu teléfono español? Puedes ponerlo como 613018226, 613 018 226 o +34 613 018 226.","timestamp":"2026-05-19T11:16:15.413Z"},{"role":"assistant","content":"Gracias, Kevin García! 📱\n\nEstas son las citas disponibles próximamente:\n\n1. martes, 19 de mayo a las 16:00\n2. miércoles, 20 de mayo a las 11:00\n3. miércoles, 20 de mayo a las 14:00\n4. miércoles, 20 de mayo a las 16:00\n5. miércoles, 20 de mayo a las 17:00\n6. jueves, 21 de mayo a las 11:00\n\n¿Cuál te viene mejor? Responde con el número (1, 2, 3...)","timestamp":"2026-05-19T11:16:47.449Z"},{"role":"assistant","content":"Perfecto! Resumen de tu cita:\n\n👤 Nombre: Kevin García\n📞 Teléfono: 34665900800\n💉 Tratamiento: Consulta General\n📅 martes, 19 de mayo a las 16:00\n📍 Calle Ejemplo 123, Madrid\n\n¿Confirmas la cita? Responde *SÍ* para confirmar o *NO* para elegir otro horario.","timestamp":"2026-05-19T11:17:05.417Z"},{"role":"assistant","content":"¡Hasta pronto, Kevin García! Que tengas un buen día.","timestamp":"2026-05-19T11:17:30.959Z"}]</t>
  </si>
  <si>
    <t>{"tratamientos_interes":[],"edad":45,"condiciones":[],"nombre":"Kevin García","telefono":"34665900800","aptitudVerificada":true,"slotPropuesto":{"inicio":"2026-05-19T14:00:00.000Z","fin":"2026-05-19T15:00:00.000Z","label":"martes, 19 de mayo a las 16:00"},"slotsDisponiblesFiltrados":[],"human_takeover":false,"human_takeover_at":null,"human_takeover_reason":null,"motivoEscalado":null,"confirmacionEnProceso":false,"confirmacionEnProcesoAt":null}</t>
  </si>
  <si>
    <t>CONFIRMACION_CITA</t>
  </si>
  <si>
    <t>2026-05-19T11:17:30.959Z</t>
  </si>
  <si>
    <t>PAC-1778680827845-4CVHD</t>
  </si>
  <si>
    <t>instagram:1521967885990005</t>
  </si>
  <si>
    <t>1521967885990005</t>
  </si>
  <si>
    <t>instagram</t>
  </si>
  <si>
    <t>Paciente Instagram</t>
  </si>
  <si>
    <t>[{"role":"assistant","content":"Contexto reiniciado ✅ ¿En qué puedo ayudarte?","timestamp":"2026-05-19T12:38:43.657Z"},{"role":"assistant","content":"Perfecto! Me alegra que estés interesado/a en nuestros tratamientos 😊\n\nAntes de agendar tu cita, necesito hacerte unas preguntas rápidas para asegurarme de que el tratamiento es el adecuado para ti.\n\n¿Cuál es tu edad aproximada?","timestamp":"2026-05-19T12:39:03.494Z"},{"role":"assistant","content":"Perfecto, gracias! ✅\n\n¿Cuál es tu nombre completo para la reserva?","timestamp":"2026-05-19T12:39:35.884Z"},{"role":"assistant","content":"Encantada, Héctor Valtierra! 😊\n\n¿Cuál es tu número de teléfono de contacto? (Para confirmarte la cita)","timestamp":"2026-05-19T12:40:20.887Z"},{"role":"assistant","content":"Gracias, Héctor Valtierra! 📱\n\nEstas son las citas disponibles próximamente:\n\n1. miércoles, 20 de mayo a las 11:00\n2. miércoles, 20 de mayo a las 16:00\n3. jueves, 21 de mayo a las 11:00\n4. jueves, 21 de mayo a las 13:00\n5. jueves, 21 de mayo a las 14:00\n6. jueves, 21 de mayo a las 16:00\n\n¿Cuál te viene mejor? Responde con el número (1, 2, 3...)","timestamp":"2026-05-19T12:40:39.922Z"},{"role":"assistant","content":"Perfecto! Resumen de tu cita:\n\n👤 Nombre: Héctor Valtierra\n📞 Teléfono: 34655400030\n💉 Tratamiento: Consulta General\n📅 jueves, 21 de mayo a las 16:00\n📍 Calle Ejemplo 123, Madrid\n\n¿Confirmas la cita? Responde *SÍ* para confirmar o *NO* para elegir otro horario.","timestamp":"2026-05-19T12:40:52.488Z"},{"role":"assistant","content":"✅ Cita confirmada Héctor Valtierra!\n\n📅 jueves, 21 de mayo de 2026\n🕒 16:00\n💉 Tratamiento: Consulta General\n📍 Calle Ejemplo 123, Madrid\n\nTe avisaremos 24h antes. Si necesitas cancelar, avisa con al menos 24h de antelación.\n\n¡Te esperamos en Clínica Estética Premium!","timestamp":"2026-05-19T12:41:07.709Z"}]</t>
  </si>
  <si>
    <t>{"tratamientos_interes":[],"edad":70,"condiciones":[],"nombre":"Héctor Valtierra","telefono":"34655400030","aptitudVerificada":true,"slotPropuesto":{"inicio":"2026-05-21T14:00:00.000Z","fin":"2026-05-21T15:00:00.000Z","label":"jueves, 21 de mayo a las 16:00"},"slotsDisponiblesFiltrados":[],"human_takeover":false,"human_takeover_at":null,"human_takeover_reason":null,"motivoEscalado":null,"confirmacionEnProceso":false,"confirmacionEnProcesoAt":null,"tratamientoConfirmado":"Consulta General","calendarEventId":"0d3aqqggh27n79umtemckhng5c","citaConfirmada":true}</t>
  </si>
  <si>
    <t>0d3aqqggh27n79umtemckhng5c</t>
  </si>
  <si>
    <t>2026-05-19T12:41:07.709Z</t>
  </si>
  <si>
    <t>PAC-1778795838408-UFORB</t>
  </si>
  <si>
    <t>facebook:27019473287738680</t>
  </si>
  <si>
    <t>27019473287738680</t>
  </si>
  <si>
    <t>facebook</t>
  </si>
  <si>
    <t>Paciente Facebook</t>
  </si>
  <si>
    <t>[{"role":"assistant","content":"Contexto reiniciado ✅ ¿En qué puedo ayudarte?","timestamp":"2026-05-19T09:01:44.232Z"},{"role":"assistant","content":"Perfecto! Me alegra que estés interesado/a en nuestros tratamientos 😊\n\nAntes de agendar tu cita, necesito hacerte unas preguntas rápidas para asegurarme de que el tratamiento es el adecuado para ti.\n\n¿Cuál es tu edad aproximada?","timestamp":"2026-05-19T09:02:17.879Z"},{"role":"assistant","content":"Perfecto, gracias! ✅\n\n¿Cuál es tu nombre completo para la reserva?","timestamp":"2026-05-19T09:02:29.361Z"},{"role":"assistant","content":"Encantada, Eduardo González! 😊\n\n¿Cuál es tu número de teléfono de contacto? (Para confirmarte la cita)","timestamp":"2026-05-19T09:02:55.536Z"},{"role":"assistant","content":"Gracias, Eduardo González! 📱\n\nEstas son las citas disponibles próximamente:\n\n1. martes, 19 de mayo a las 16:00\n2. miércoles, 20 de mayo a las 11:00\n3. miércoles, 20 de mayo a las 14:00\n4. miércoles, 20 de mayo a las 16:00\n5. miércoles, 20 de mayo a las 17:00\n6. miércoles, 20 de mayo a las 18:00\n\n¿Cuál te viene mejor? Responde con el número (1, 2, 3...)","timestamp":"2026-05-19T09:03:14.285Z"},{"role":"assistant","content":"Perfecto! Resumen de tu cita:\n\n👤 Nombre: Eduardo González\n📞 Teléfono: 34660980670\n💉 Tratamiento: Consulta General\n📅 miércoles, 20 de mayo a las 17:00\n📍 Calle Ejemplo 123, Madrid\n\n¿Confirmas la cita? Responde *SÍ* para confirmar o *NO* para elegir otro horario.","timestamp":"2026-05-19T09:03:25.030Z"},{"role":"assistant","content":"Sin problema! Elige otro horario:\n\n1. martes, 19 de mayo a las 16:00\n2. miércoles, 20 de mayo a las 11:00\n3. miércoles, 20 de mayo a las 14:00\n4. miércoles, 20 de mayo a las 16:00\n5. miércoles, 20 de mayo a las 18:00\n6. jueves, 21 de mayo a las 10:00","timestamp":"2026-05-19T09:03:52.285Z"},{"role":"assistant","content":"Perfecto! Resumen de tu cita:\n\n👤 Nombre: Eduardo González\n📞 Teléfono: 34660980670\n💉 Tratamiento: Consulta General\n📅 jueves, 21 de mayo a las 10:00\n📍 Calle Ejemplo 123, Madrid\n\n¿Confirmas la cita? Responde *SÍ* para confirmar o *NO* para elegir otro horario.","timestamp":"2026-05-19T09:04:02.462Z"},{"role":"assistant","content":"✅ Cita confirmada Eduardo González!\n\n📅 jueves, 21 de mayo de 2026\n🕒 10:00\n💉 Tratamiento: Consulta General\n📍 Calle Ejemplo 123, Madrid\n\nTe avisaremos 24h antes. Si necesitas cancelar, avisa con al menos 24h de antelación.\n\n¡Te esperamos en Clínica Estética Premium!","timestamp":"2026-05-19T09:04:12.319Z"},{"role":"assistant","content":"¡Hasta pronto, Eduardo González! Que tengas un buen día. 😊","timestamp":"2026-05-19T09:04:29.931Z"}]</t>
  </si>
  <si>
    <t>{"tratamientos_interes":[],"edad":40,"condiciones":[],"nombre":"Eduardo González","telefono":"34660980670","aptitudVerificada":true,"slotPropuesto":{"inicio":"2026-05-21T08:00:00.000Z","fin":"2026-05-21T09:00:00.000Z","label":"jueves, 21 de mayo a las 10:00"},"slotsDisponiblesFiltrados":[{"inicio":"2026-05-19T14:00:00.000Z","fin":"2026-05-19T15:00:00.000Z","label":"martes, 19 de mayo a las 16:00"},{"inicio":"2026-05-20T09:00:00.000Z","fin":"2026-05-20T10:00:00.000Z","label":"miércoles, 20 de mayo a las 11:00"},{"inicio":"2026-05-20T12:00:00.000Z","fin":"2026-05-20T13:00:00.000Z","label":"miércoles, 20 de mayo a las 14:00"},{"inicio":"2026-05-20T14:00:00.000Z","fin":"2026-05-20T15:00:00.000Z","label":"miércoles, 20 de mayo a las 16:00"},{"inicio":"2026-05-20T16:00:00.000Z","fin":"2026-05-20T17:00:00.000Z","label":"miércoles, 20 de mayo a las 18:00"},{"inicio":"2026-05-21T08:00:00.000Z","fin":"2026-05-21T09:00:00.000Z","label":"jueves, 21 de mayo a las 10:00"},{"inicio":"2026-05-21T09:00:00.000Z","fin":"2026-05-21T10:00:00.000Z","label":"jueves, 21 de mayo a las 11:00"}],"human_takeover":false,"human_takeover_at":null,"human_takeover_reason":null,"motivoEscalado":null,"confirmacionEnProceso":false,"confirmacionEnProcesoAt":null,"tratamientoConfirmado":"Consulta General","calendarEventId":"lb9amb9gl7kg3im8pnq9imjn34","citaConfirmada":true}</t>
  </si>
  <si>
    <t>OTRO</t>
  </si>
  <si>
    <t>lb9amb9gl7kg3im8pnq9imjn34</t>
  </si>
  <si>
    <t>2026-05-19T09:04:29.931Z</t>
  </si>
  <si>
    <t>PAC-1778800052043-TKFTN</t>
  </si>
  <si>
    <t>[{"inicio":"2026-05-19T14:00:00.000Z","fin":"2026-05-19T15:00:00.000Z","label":"martes, 19 de mayo a las 16:00"},{"inicio":"2026-05-20T09:00:00.000Z","fin":"2026-05-20T10:00:00.000Z","label":"miércoles, 20 de mayo a las 11:00"},{"inicio":"2026-05-20T12:00:00.000Z","fin":"2026-05-20T13:00:00.000Z","label":"miércoles, 20 de mayo a las 14:00"},{"inicio":"2026-05-20T14:00:00.000Z","fin":"2026-05-20T15:00:00.000Z","label":"miércoles, 20 de mayo a las 16:00"},{"inicio":"2026-05-20T16:00:00.000Z","fin":"2026-05-20T17:00:00.000Z","label":"miércoles, 20 de mayo a las 18:00"},{"inicio":"2026-05-21T08:00:00.000Z","fin":"2026-05-21T09:00:00.000Z","label":"jueves, 21 de mayo a las 10:00"},{"inicio":"2026-05-21T09:00:00.000Z","fin":"2026-05-21T10:00:00.000Z","label":"jueves, 21 de mayo a las 11:00"}]</t>
  </si>
  <si>
    <t>telefono</t>
  </si>
  <si>
    <t>telefono_normalizado</t>
  </si>
  <si>
    <t>nombre</t>
  </si>
  <si>
    <t>canal_origen</t>
  </si>
  <si>
    <t>canales_usados</t>
  </si>
  <si>
    <t>citas_confirmadas</t>
  </si>
  <si>
    <t>metadata_global</t>
  </si>
  <si>
    <t>PAC-1779043619387-5B30U</t>
  </si>
  <si>
    <t>["test"]</t>
  </si>
  <si>
    <t>{"tratamientos_interes":["Botox facial"],"edad":35,"condiciones":[],"aptitudVerificada":true,"slotPropuesto":{"inicio":"2026-05-18T09:00:00.000Z","fin":"2026-05-18T10:00:00.000Z","label":"lunes, 18 de mayo a las 11:00"},"nombre":"Laura García","telefono":"34613020200","slotsDisponiblesFiltrados":[],"tratamientoConfirmado":"Botox facial","calendarEventId":"rrpekvf866ankmfr4pk6jiqe50","citaConfirmada":true}</t>
  </si>
  <si>
    <t>2026-05-17T18:51:55.175Z</t>
  </si>
  <si>
    <t>Kevin García</t>
  </si>
  <si>
    <t>["whatsapp"]</t>
  </si>
  <si>
    <t>{"tratamientos_interes":[],"edad":45,"condiciones":[],"nombre":"Kevin García","telefono":"34665900800","aptitudVerificada":true,"slotPropuesto":{"inicio":"2026-05-19T14:00:00.000Z","fin":"2026-05-19T15:00:00.000Z","label":"martes, 19 de mayo a las 16:00"},"slotsDisponiblesFiltrados":[],"human_takeover":false,"human_takeover_at":null,"human_takeover_reason":null,"motivoEscalado":null,"confirmacionEnProceso":false,"confirmacionEnProcesoAt":null,"tratamientoConfirmado":"Consulta General","calendarEventId":"rd7i9009hpga1mfpf3chv1ugkk","citaConfirmada":true}</t>
  </si>
  <si>
    <t>2026-05-19T11:17:18.610Z</t>
  </si>
  <si>
    <t>Eduardo González</t>
  </si>
  <si>
    <t>["facebook"]</t>
  </si>
  <si>
    <t>Héctor Valtierra</t>
  </si>
  <si>
    <t>["instagram"]</t>
  </si>
  <si>
    <t>event_id</t>
  </si>
  <si>
    <t>canal</t>
  </si>
  <si>
    <t>paciente_nombre</t>
  </si>
  <si>
    <t>paciente_telefono</t>
  </si>
  <si>
    <t>tipo_evento</t>
  </si>
  <si>
    <t>prioridad</t>
  </si>
  <si>
    <t>etapa_actual</t>
  </si>
  <si>
    <t>mensaje_paciente</t>
  </si>
  <si>
    <t>respuesta_bot</t>
  </si>
  <si>
    <t>servicio</t>
  </si>
  <si>
    <t>cita_fecha</t>
  </si>
  <si>
    <t>requiere_atencion</t>
  </si>
  <si>
    <t>operador_asignado</t>
  </si>
  <si>
    <t>resuelto</t>
  </si>
  <si>
    <t>notas_staff</t>
  </si>
  <si>
    <t>timestamp</t>
  </si>
  <si>
    <t>EVT-1779043915152</t>
  </si>
  <si>
    <t>test:cliente_test_006</t>
  </si>
  <si>
    <t>CITA_CONFIRMADA</t>
  </si>
  <si>
    <t>MEDIA</t>
  </si>
  <si>
    <t>sí</t>
  </si>
  <si>
    <t>✅ Cita confirmada Laura García!
📅 lunes, 18 de mayo de 2026
🕒 11:00
💉 Tratamiento: Botox facial
📍 Calle Ejemplo 123, Madrid
Te avisaremos 24h antes. Si necesitas cancelar, avisa con al menos 24h de antelación.
¡Te esperamos en Clínica!</t>
  </si>
  <si>
    <t>Botox facial</t>
  </si>
  <si>
    <t>2026-05-18T09:00:00.000Z</t>
  </si>
  <si>
    <t>rrpekvf866ankmfr4pk6jiqe50</t>
  </si>
  <si>
    <t>2026-05-17T18:51:55.152Z</t>
  </si>
  <si>
    <t>EVT-1779181453375</t>
  </si>
  <si>
    <t>Si</t>
  </si>
  <si>
    <t>✅ Cita confirmada Eduardo González!
📅 jueves, 21 de mayo de 2026
🕒 10:00
💉 Tratamiento: Consulta General
📍 Calle Ejemplo 123, Madrid
Te avisaremos 24h antes. Si necesitas cancelar, avisa con al menos 24h de antelación.
¡Te esperamos en Clínica Estética Premium!</t>
  </si>
  <si>
    <t>Consulta General</t>
  </si>
  <si>
    <t>2026-05-21T08:00:00.000Z</t>
  </si>
  <si>
    <t>2026-05-19T09:04:13.375Z</t>
  </si>
  <si>
    <t>EVT-1779189439589</t>
  </si>
  <si>
    <t>whatsapp:34614436907</t>
  </si>
  <si>
    <t>✅ Cita confirmada Kevin García!
📅 martes, 19 de mayo de 2026
🕒 16:00
💉 Tratamiento: Consulta General
📍 Calle Ejemplo 123, Madrid
Te avisaremos 24h antes. Si necesitas cancelar, avisa con al menos 24h de antelación.
¡Te esperamos en Clínica Estética Premium!</t>
  </si>
  <si>
    <t>2026-05-19T14:00:00.000Z</t>
  </si>
  <si>
    <t>rd7i9009hpga1mfpf3chv1ugkk</t>
  </si>
  <si>
    <t>2026-05-19T11:17:19.589Z</t>
  </si>
  <si>
    <t>EVT-1779194468924</t>
  </si>
  <si>
    <t>✅ Cita confirmada Héctor Valtierra!
📅 jueves, 21 de mayo de 2026
🕒 16:00
💉 Tratamiento: Consulta General
📍 Calle Ejemplo 123, Madrid
Te avisaremos 24h antes. Si necesitas cancelar, avisa con al menos 24h de antelación.
¡Te esperamos en Clínica Estética Premium!</t>
  </si>
  <si>
    <t>2026-05-21T14:00:00.000Z</t>
  </si>
  <si>
    <t>2026-05-19T12:41:08.924Z</t>
  </si>
  <si>
    <t>activa</t>
  </si>
  <si>
    <t>operador</t>
  </si>
  <si>
    <t>motivo</t>
  </si>
  <si>
    <t>notas</t>
  </si>
  <si>
    <t>created_at</t>
  </si>
  <si>
    <t>resolved_at</t>
  </si>
  <si>
    <t>total_leads</t>
  </si>
  <si>
    <t>leads_cualificados</t>
  </si>
  <si>
    <t>citas_agendadas</t>
  </si>
  <si>
    <t>citas_completadas</t>
  </si>
  <si>
    <t>escalados</t>
  </si>
  <si>
    <t>conversion_rate</t>
  </si>
  <si>
    <t>300.00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</si>
</sst>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1.0"/>
      <color theme="1"/>
      <name val="Calibri"/>
    </font>
    <font>
      <i/>
      <sz val="10.0"/>
      <color rgb="FF555555"/>
      <name val="Arial"/>
    </font>
    <font>
      <b/>
      <sz val="9.0"/>
      <color rgb="FFFFFFFF"/>
      <name val="Arial"/>
    </font>
    <font>
      <b/>
      <sz val="22.0"/>
      <color rgb="FFFFFFFF"/>
      <name val="Arial"/>
    </font>
    <font>
      <b/>
      <sz val="11.0"/>
      <color rgb="FFFFFFFF"/>
      <name val="Arial"/>
    </font>
    <font>
      <sz val="9.0"/>
      <color rgb="FF333333"/>
      <name val="Arial"/>
    </font>
    <font>
      <b/>
      <sz val="9.0"/>
      <color rgb="FF6C3483"/>
      <name val="Arial"/>
    </font>
    <font>
      <b/>
      <color rgb="FFFFFFFF"/>
      <name val="Calibri"/>
      <scheme val="minor"/>
    </font>
    <font>
      <color theme="1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94560"/>
        <bgColor rgb="FFE94560"/>
      </patternFill>
    </fill>
    <fill>
      <patternFill patternType="solid">
        <fgColor rgb="FFF8F9FA"/>
        <bgColor rgb="FFF8F9FA"/>
      </patternFill>
    </fill>
    <fill>
      <patternFill patternType="solid">
        <fgColor rgb="FF0F3460"/>
        <bgColor rgb="FF0F3460"/>
      </patternFill>
    </fill>
    <fill>
      <patternFill patternType="solid">
        <fgColor rgb="FF16A085"/>
        <bgColor rgb="FF16A085"/>
      </patternFill>
    </fill>
    <fill>
      <patternFill patternType="solid">
        <fgColor rgb="FF27AE60"/>
        <bgColor rgb="FF27AE60"/>
      </patternFill>
    </fill>
    <fill>
      <patternFill patternType="solid">
        <fgColor rgb="FF16213E"/>
        <bgColor rgb="FF16213E"/>
      </patternFill>
    </fill>
    <fill>
      <patternFill patternType="solid">
        <fgColor rgb="FFFFFFFF"/>
        <bgColor rgb="FFFFFFFF"/>
      </patternFill>
    </fill>
    <fill>
      <patternFill patternType="solid">
        <fgColor rgb="FFE67E22"/>
        <bgColor rgb="FFE67E22"/>
      </patternFill>
    </fill>
    <fill>
      <patternFill patternType="solid">
        <fgColor rgb="FF6C3483"/>
        <bgColor rgb="FF6C3483"/>
      </patternFill>
    </fill>
    <fill>
      <patternFill patternType="solid">
        <fgColor rgb="FFF3E5F5"/>
        <bgColor rgb="FFF3E5F5"/>
      </patternFill>
    </fill>
    <fill>
      <patternFill patternType="solid">
        <fgColor rgb="FFE3F2FD"/>
        <bgColor rgb="FFE3F2FD"/>
      </patternFill>
    </fill>
    <fill>
      <patternFill patternType="solid">
        <fgColor rgb="FFFAFAFA"/>
        <bgColor rgb="FFFAFAFA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1A6B3C"/>
        <bgColor rgb="FF1A6B3C"/>
      </patternFill>
    </fill>
    <fill>
      <patternFill patternType="solid">
        <fgColor rgb="FFF39C12"/>
        <bgColor rgb="FFF39C12"/>
      </patternFill>
    </fill>
    <fill>
      <patternFill patternType="solid">
        <fgColor rgb="FF2980B9"/>
        <bgColor rgb="FF2980B9"/>
      </patternFill>
    </fill>
    <fill>
      <patternFill patternType="solid">
        <fgColor rgb="FF8E44AD"/>
        <bgColor rgb="FF8E44AD"/>
      </patternFill>
    </fill>
    <fill>
      <patternFill patternType="solid">
        <fgColor rgb="FFC0392B"/>
        <bgColor rgb="FFC0392B"/>
      </patternFill>
    </fill>
    <fill>
      <patternFill patternType="solid">
        <fgColor rgb="FFE74C3C"/>
        <bgColor rgb="FFE74C3C"/>
      </patternFill>
    </fill>
    <fill>
      <patternFill patternType="solid">
        <fgColor rgb="FF1C4587"/>
        <bgColor rgb="FF1C458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5CAE9"/>
      </left>
      <right style="thin">
        <color rgb="FFC5CAE9"/>
      </right>
      <top style="thin">
        <color rgb="FFC5CAE9"/>
      </top>
      <bottom style="thin">
        <color rgb="FFC5CAE9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1" fillId="4" fontId="4" numFmtId="0" xfId="0" applyAlignment="1" applyBorder="1" applyFill="1" applyFont="1">
      <alignment vertical="center"/>
    </xf>
    <xf borderId="1" fillId="5" fontId="5" numFmtId="0" xfId="0" applyAlignment="1" applyBorder="1" applyFill="1" applyFont="1">
      <alignment vertical="center"/>
    </xf>
    <xf borderId="1" fillId="6" fontId="5" numFmtId="0" xfId="0" applyAlignment="1" applyBorder="1" applyFill="1" applyFont="1">
      <alignment vertical="center"/>
    </xf>
    <xf borderId="1" fillId="7" fontId="5" numFmtId="0" xfId="0" applyAlignment="1" applyBorder="1" applyFill="1" applyFont="1">
      <alignment vertical="center"/>
    </xf>
    <xf borderId="1" fillId="3" fontId="5" numFmtId="0" xfId="0" applyAlignment="1" applyBorder="1" applyFont="1">
      <alignment vertical="center"/>
    </xf>
    <xf borderId="1" fillId="5" fontId="6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4" fillId="5" fontId="3" numFmtId="0" xfId="0" applyBorder="1" applyFont="1"/>
    <xf borderId="4" fillId="6" fontId="3" numFmtId="0" xfId="0" applyBorder="1" applyFont="1"/>
    <xf borderId="4" fillId="7" fontId="3" numFmtId="0" xfId="0" applyBorder="1" applyFont="1"/>
    <xf borderId="4" fillId="3" fontId="3" numFmtId="0" xfId="0" applyBorder="1" applyFont="1"/>
    <xf borderId="1" fillId="5" fontId="7" numFmtId="0" xfId="0" applyAlignment="1" applyBorder="1" applyFont="1">
      <alignment vertical="center"/>
    </xf>
    <xf borderId="5" fillId="8" fontId="5" numFmtId="0" xfId="0" applyAlignment="1" applyBorder="1" applyFill="1" applyFont="1">
      <alignment horizontal="center" vertical="center"/>
    </xf>
    <xf borderId="5" fillId="5" fontId="5" numFmtId="0" xfId="0" applyAlignment="1" applyBorder="1" applyFont="1">
      <alignment shrinkToFit="0" vertical="center" wrapText="1"/>
    </xf>
    <xf borderId="5" fillId="9" fontId="8" numFmtId="0" xfId="0" applyAlignment="1" applyBorder="1" applyFill="1" applyFont="1">
      <alignment shrinkToFit="0" vertical="center" wrapText="1"/>
    </xf>
    <xf borderId="5" fillId="6" fontId="5" numFmtId="0" xfId="0" applyAlignment="1" applyBorder="1" applyFont="1">
      <alignment shrinkToFit="0" vertical="center" wrapText="1"/>
    </xf>
    <xf borderId="5" fillId="4" fontId="8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shrinkToFit="0" vertical="center" wrapText="1"/>
    </xf>
    <xf borderId="5" fillId="10" fontId="5" numFmtId="0" xfId="0" applyAlignment="1" applyBorder="1" applyFill="1" applyFont="1">
      <alignment shrinkToFit="0" vertical="center" wrapText="1"/>
    </xf>
    <xf borderId="1" fillId="11" fontId="7" numFmtId="0" xfId="0" applyAlignment="1" applyBorder="1" applyFill="1" applyFont="1">
      <alignment vertical="center"/>
    </xf>
    <xf borderId="5" fillId="11" fontId="5" numFmtId="0" xfId="0" applyAlignment="1" applyBorder="1" applyFont="1">
      <alignment horizontal="center" vertical="center"/>
    </xf>
    <xf borderId="5" fillId="12" fontId="9" numFmtId="0" xfId="0" applyAlignment="1" applyBorder="1" applyFill="1" applyFont="1">
      <alignment shrinkToFit="0" vertical="center" wrapText="1"/>
    </xf>
    <xf borderId="5" fillId="12" fontId="8" numFmtId="0" xfId="0" applyAlignment="1" applyBorder="1" applyFont="1">
      <alignment shrinkToFit="0" vertical="center" wrapText="1"/>
    </xf>
    <xf borderId="5" fillId="13" fontId="8" numFmtId="0" xfId="0" applyAlignment="1" applyBorder="1" applyFill="1" applyFont="1">
      <alignment shrinkToFit="0" vertical="center" wrapText="1"/>
    </xf>
    <xf borderId="5" fillId="14" fontId="9" numFmtId="0" xfId="0" applyAlignment="1" applyBorder="1" applyFill="1" applyFont="1">
      <alignment shrinkToFit="0" vertical="center" wrapText="1"/>
    </xf>
    <xf borderId="5" fillId="14" fontId="8" numFmtId="0" xfId="0" applyAlignment="1" applyBorder="1" applyFont="1">
      <alignment shrinkToFit="0" vertical="center" wrapText="1"/>
    </xf>
    <xf borderId="5" fillId="15" fontId="8" numFmtId="0" xfId="0" applyAlignment="1" applyBorder="1" applyFill="1" applyFont="1">
      <alignment shrinkToFit="0" vertical="center" wrapText="1"/>
    </xf>
    <xf borderId="5" fillId="16" fontId="8" numFmtId="0" xfId="0" applyAlignment="1" applyBorder="1" applyFill="1" applyFont="1">
      <alignment shrinkToFit="0" vertical="center" wrapText="1"/>
    </xf>
    <xf borderId="1" fillId="17" fontId="7" numFmtId="0" xfId="0" applyAlignment="1" applyBorder="1" applyFill="1" applyFont="1">
      <alignment vertical="center"/>
    </xf>
    <xf borderId="5" fillId="17" fontId="5" numFmtId="0" xfId="0" applyAlignment="1" applyBorder="1" applyFont="1">
      <alignment horizontal="center" vertical="center"/>
    </xf>
    <xf borderId="5" fillId="7" fontId="5" numFmtId="0" xfId="0" applyAlignment="1" applyBorder="1" applyFont="1">
      <alignment shrinkToFit="0" vertical="center" wrapText="1"/>
    </xf>
    <xf borderId="5" fillId="4" fontId="8" numFmtId="0" xfId="0" applyAlignment="1" applyBorder="1" applyFont="1">
      <alignment readingOrder="0" shrinkToFit="0" vertical="center" wrapText="1"/>
    </xf>
    <xf borderId="5" fillId="18" fontId="5" numFmtId="0" xfId="0" applyAlignment="1" applyBorder="1" applyFill="1" applyFont="1">
      <alignment shrinkToFit="0" vertical="center" wrapText="1"/>
    </xf>
    <xf borderId="5" fillId="9" fontId="8" numFmtId="0" xfId="0" applyAlignment="1" applyBorder="1" applyFont="1">
      <alignment readingOrder="0" shrinkToFit="0" vertical="center" wrapText="1"/>
    </xf>
    <xf borderId="5" fillId="19" fontId="5" numFmtId="0" xfId="0" applyAlignment="1" applyBorder="1" applyFill="1" applyFont="1">
      <alignment shrinkToFit="0" vertical="center" wrapText="1"/>
    </xf>
    <xf borderId="5" fillId="20" fontId="5" numFmtId="0" xfId="0" applyAlignment="1" applyBorder="1" applyFill="1" applyFont="1">
      <alignment shrinkToFit="0" vertical="center" wrapText="1"/>
    </xf>
    <xf borderId="5" fillId="21" fontId="5" numFmtId="0" xfId="0" applyAlignment="1" applyBorder="1" applyFill="1" applyFont="1">
      <alignment shrinkToFit="0" vertical="center" wrapText="1"/>
    </xf>
    <xf borderId="5" fillId="22" fontId="5" numFmtId="0" xfId="0" applyAlignment="1" applyBorder="1" applyFill="1" applyFont="1">
      <alignment shrinkToFit="0" vertical="center" wrapText="1"/>
    </xf>
    <xf borderId="5" fillId="23" fontId="10" numFmtId="0" xfId="0" applyAlignment="1" applyBorder="1" applyFill="1" applyFont="1">
      <alignment horizontal="center" readingOrder="0" shrinkToFit="0" vertical="center" wrapText="0"/>
    </xf>
    <xf borderId="0" fillId="23" fontId="10" numFmtId="0" xfId="0" applyAlignment="1" applyFont="1">
      <alignment readingOrder="0" shrinkToFit="0" wrapText="0"/>
    </xf>
    <xf borderId="0" fillId="23" fontId="11" numFmtId="0" xfId="0" applyAlignment="1" applyFont="1">
      <alignment shrinkToFit="0" wrapText="0"/>
    </xf>
    <xf borderId="0" fillId="0" fontId="11" numFmtId="0" xfId="0" applyAlignment="1" applyFont="1">
      <alignment readingOrder="0"/>
    </xf>
    <xf borderId="0" fillId="0" fontId="11" numFmtId="0" xfId="0" applyFont="1"/>
    <xf borderId="5" fillId="23" fontId="10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readingOrder="0"/>
    </xf>
    <xf borderId="0" fillId="23" fontId="10" numFmtId="0" xfId="0" applyFont="1"/>
    <xf borderId="0" fillId="23" fontId="11" numFmtId="0" xfId="0" applyFont="1"/>
    <xf borderId="5" fillId="23" fontId="10" numFmtId="0" xfId="0" applyAlignment="1" applyBorder="1" applyFont="1">
      <alignment horizontal="center" vertical="center"/>
    </xf>
    <xf borderId="5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44AD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58.0"/>
    <col customWidth="1" min="3" max="3" width="55.0"/>
    <col customWidth="1" min="4" max="4" width="14.0"/>
    <col customWidth="1" min="5" max="5" width="8.0"/>
    <col customWidth="1" min="6" max="6" width="8.71"/>
    <col customWidth="1" min="7" max="7" width="16.0"/>
    <col customWidth="1" min="8" max="8" width="8.0"/>
    <col customWidth="1" min="9" max="9" width="8.71"/>
    <col customWidth="1" min="10" max="10" width="16.0"/>
    <col customWidth="1" min="11" max="11" width="8.0"/>
    <col customWidth="1" min="12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9.7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3"/>
    </row>
    <row r="3" ht="21.75" customHeight="1">
      <c r="A3" s="5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13.5" customHeight="1"/>
    <row r="5" ht="18.0" customHeight="1">
      <c r="A5" s="6" t="s">
        <v>2</v>
      </c>
      <c r="B5" s="3"/>
      <c r="D5" s="7" t="s">
        <v>3</v>
      </c>
      <c r="E5" s="3"/>
      <c r="G5" s="8" t="s">
        <v>4</v>
      </c>
      <c r="H5" s="3"/>
      <c r="J5" s="9" t="s">
        <v>5</v>
      </c>
      <c r="K5" s="3"/>
    </row>
    <row r="6" ht="33.75" customHeight="1">
      <c r="A6" s="10">
        <f>COUNTA(Contexto!A2:A982)</f>
        <v>4</v>
      </c>
      <c r="B6" s="3"/>
      <c r="D6" s="11">
        <f>COUNTA(Pacientes!A3:A997)</f>
        <v>3</v>
      </c>
      <c r="E6" s="3"/>
      <c r="G6" s="12">
        <f>COUNTIF(CRM_Inbox!G2:G961,"CITA_CONFIRMADA")</f>
        <v>4</v>
      </c>
      <c r="H6" s="3"/>
      <c r="J6" s="13">
        <f>COUNTIFS(CRM_Inbox!G2:G961,"ESCALADO",CRM_Inbox!Q2:Q961,"FALSE")</f>
        <v>0</v>
      </c>
      <c r="K6" s="3"/>
    </row>
    <row r="7" ht="15.75" customHeight="1">
      <c r="A7" s="14"/>
      <c r="B7" s="14"/>
      <c r="D7" s="15"/>
      <c r="E7" s="15"/>
      <c r="G7" s="16"/>
      <c r="H7" s="16"/>
      <c r="J7" s="17"/>
      <c r="K7" s="17"/>
    </row>
    <row r="8" ht="13.5" customHeight="1"/>
    <row r="9" ht="25.5" customHeight="1">
      <c r="A9" s="18" t="s">
        <v>6</v>
      </c>
      <c r="B9" s="2"/>
      <c r="C9" s="2"/>
      <c r="D9" s="2"/>
      <c r="E9" s="2"/>
      <c r="F9" s="2"/>
      <c r="G9" s="2"/>
      <c r="H9" s="2"/>
      <c r="I9" s="2"/>
      <c r="J9" s="2"/>
      <c r="K9" s="3"/>
    </row>
    <row r="10" ht="27.75" customHeight="1">
      <c r="A10" s="19" t="s">
        <v>7</v>
      </c>
      <c r="B10" s="19" t="s">
        <v>8</v>
      </c>
      <c r="C10" s="19" t="s">
        <v>9</v>
      </c>
      <c r="D10" s="19" t="s">
        <v>10</v>
      </c>
    </row>
    <row r="11" ht="27.75" customHeight="1">
      <c r="A11" s="20" t="s">
        <v>11</v>
      </c>
      <c r="B11" s="21" t="s">
        <v>12</v>
      </c>
      <c r="C11" s="21" t="s">
        <v>13</v>
      </c>
      <c r="D11" s="21" t="s">
        <v>14</v>
      </c>
    </row>
    <row r="12" ht="27.75" customHeight="1">
      <c r="A12" s="22" t="s">
        <v>15</v>
      </c>
      <c r="B12" s="23" t="s">
        <v>16</v>
      </c>
      <c r="C12" s="23" t="s">
        <v>17</v>
      </c>
      <c r="D12" s="23" t="s">
        <v>14</v>
      </c>
    </row>
    <row r="13" ht="27.75" customHeight="1">
      <c r="A13" s="24" t="s">
        <v>18</v>
      </c>
      <c r="B13" s="21" t="s">
        <v>19</v>
      </c>
      <c r="C13" s="21" t="s">
        <v>20</v>
      </c>
      <c r="D13" s="21" t="s">
        <v>21</v>
      </c>
    </row>
    <row r="14" ht="27.75" customHeight="1">
      <c r="A14" s="25" t="s">
        <v>22</v>
      </c>
      <c r="B14" s="23" t="s">
        <v>23</v>
      </c>
      <c r="C14" s="23" t="s">
        <v>24</v>
      </c>
      <c r="D14" s="23" t="s">
        <v>25</v>
      </c>
    </row>
    <row r="15" ht="13.5" customHeight="1"/>
    <row r="16" ht="25.5" customHeight="1">
      <c r="A16" s="26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3"/>
    </row>
    <row r="17" ht="25.5" customHeight="1">
      <c r="A17" s="27" t="s">
        <v>27</v>
      </c>
      <c r="B17" s="27" t="s">
        <v>28</v>
      </c>
      <c r="C17" s="27" t="s">
        <v>29</v>
      </c>
      <c r="D17" s="27" t="s">
        <v>30</v>
      </c>
    </row>
    <row r="18" ht="24.0" customHeight="1">
      <c r="A18" s="28" t="s">
        <v>31</v>
      </c>
      <c r="B18" s="29" t="s">
        <v>32</v>
      </c>
      <c r="C18" s="29" t="s">
        <v>33</v>
      </c>
      <c r="D18" s="30" t="s">
        <v>34</v>
      </c>
    </row>
    <row r="19" ht="24.0" customHeight="1">
      <c r="A19" s="31" t="s">
        <v>35</v>
      </c>
      <c r="B19" s="32" t="s">
        <v>36</v>
      </c>
      <c r="C19" s="32" t="s">
        <v>37</v>
      </c>
      <c r="D19" s="30" t="s">
        <v>34</v>
      </c>
    </row>
    <row r="20" ht="24.0" customHeight="1">
      <c r="A20" s="28" t="s">
        <v>38</v>
      </c>
      <c r="B20" s="29" t="s">
        <v>36</v>
      </c>
      <c r="C20" s="29" t="s">
        <v>39</v>
      </c>
      <c r="D20" s="30" t="s">
        <v>34</v>
      </c>
    </row>
    <row r="21" ht="24.0" customHeight="1">
      <c r="A21" s="31" t="s">
        <v>40</v>
      </c>
      <c r="B21" s="32" t="s">
        <v>36</v>
      </c>
      <c r="C21" s="32" t="s">
        <v>41</v>
      </c>
      <c r="D21" s="30" t="s">
        <v>34</v>
      </c>
    </row>
    <row r="22" ht="24.0" customHeight="1">
      <c r="A22" s="28" t="s">
        <v>42</v>
      </c>
      <c r="B22" s="29" t="s">
        <v>36</v>
      </c>
      <c r="C22" s="29" t="s">
        <v>43</v>
      </c>
      <c r="D22" s="30" t="s">
        <v>34</v>
      </c>
    </row>
    <row r="23" ht="24.0" customHeight="1">
      <c r="A23" s="31" t="s">
        <v>44</v>
      </c>
      <c r="B23" s="32" t="s">
        <v>36</v>
      </c>
      <c r="C23" s="32" t="s">
        <v>45</v>
      </c>
      <c r="D23" s="30" t="s">
        <v>34</v>
      </c>
    </row>
    <row r="24" ht="24.0" customHeight="1">
      <c r="A24" s="28" t="s">
        <v>46</v>
      </c>
      <c r="B24" s="29" t="s">
        <v>47</v>
      </c>
      <c r="C24" s="29" t="s">
        <v>48</v>
      </c>
      <c r="D24" s="30" t="s">
        <v>34</v>
      </c>
    </row>
    <row r="25" ht="24.0" customHeight="1">
      <c r="A25" s="31" t="s">
        <v>49</v>
      </c>
      <c r="B25" s="32" t="s">
        <v>50</v>
      </c>
      <c r="C25" s="32" t="s">
        <v>51</v>
      </c>
      <c r="D25" s="33" t="s">
        <v>52</v>
      </c>
    </row>
    <row r="26" ht="24.0" customHeight="1">
      <c r="A26" s="28" t="s">
        <v>53</v>
      </c>
      <c r="B26" s="29" t="s">
        <v>54</v>
      </c>
      <c r="C26" s="29" t="s">
        <v>55</v>
      </c>
      <c r="D26" s="34" t="s">
        <v>56</v>
      </c>
    </row>
    <row r="27" ht="13.5" customHeight="1"/>
    <row r="28" ht="25.5" customHeight="1">
      <c r="A28" s="35" t="s">
        <v>57</v>
      </c>
      <c r="B28" s="2"/>
      <c r="C28" s="2"/>
      <c r="D28" s="2"/>
      <c r="E28" s="2"/>
      <c r="F28" s="2"/>
      <c r="G28" s="2"/>
      <c r="H28" s="2"/>
      <c r="I28" s="2"/>
      <c r="J28" s="2"/>
      <c r="K28" s="3"/>
    </row>
    <row r="29" ht="25.5" customHeight="1">
      <c r="A29" s="36" t="s">
        <v>58</v>
      </c>
      <c r="B29" s="36" t="s">
        <v>59</v>
      </c>
    </row>
    <row r="30" ht="24.0" customHeight="1">
      <c r="A30" s="37" t="s">
        <v>60</v>
      </c>
      <c r="B30" s="38" t="s">
        <v>61</v>
      </c>
    </row>
    <row r="31" ht="24.0" customHeight="1">
      <c r="A31" s="39" t="s">
        <v>62</v>
      </c>
      <c r="B31" s="40" t="s">
        <v>63</v>
      </c>
    </row>
    <row r="32" ht="24.0" customHeight="1">
      <c r="A32" s="41" t="s">
        <v>64</v>
      </c>
      <c r="B32" s="23" t="s">
        <v>65</v>
      </c>
    </row>
    <row r="33" ht="24.0" customHeight="1">
      <c r="A33" s="41" t="s">
        <v>66</v>
      </c>
      <c r="B33" s="40" t="s">
        <v>67</v>
      </c>
    </row>
    <row r="34" ht="24.0" customHeight="1">
      <c r="A34" s="42" t="s">
        <v>68</v>
      </c>
      <c r="B34" s="23" t="s">
        <v>69</v>
      </c>
    </row>
    <row r="35" ht="24.0" customHeight="1">
      <c r="A35" s="43" t="s">
        <v>70</v>
      </c>
      <c r="B35" s="40" t="s">
        <v>71</v>
      </c>
    </row>
    <row r="36" ht="24.0" customHeight="1">
      <c r="A36" s="37" t="s">
        <v>72</v>
      </c>
      <c r="B36" s="23" t="s">
        <v>73</v>
      </c>
    </row>
    <row r="37" ht="24.0" customHeight="1">
      <c r="A37" s="44" t="s">
        <v>74</v>
      </c>
      <c r="B37" s="40" t="s">
        <v>75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D5:E5"/>
    <mergeCell ref="D6:E6"/>
    <mergeCell ref="J5:K5"/>
    <mergeCell ref="J6:K6"/>
    <mergeCell ref="A9:K9"/>
    <mergeCell ref="A16:K16"/>
    <mergeCell ref="A28:K28"/>
    <mergeCell ref="A1:K1"/>
    <mergeCell ref="A2:K2"/>
    <mergeCell ref="A3:K3"/>
    <mergeCell ref="A5:B5"/>
    <mergeCell ref="G5:H5"/>
    <mergeCell ref="A6:B6"/>
    <mergeCell ref="G6:H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085"/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15.0"/>
    <col customWidth="1" min="3" max="3" width="12.0"/>
    <col customWidth="1" min="4" max="5" width="18.0"/>
    <col customWidth="1" min="6" max="6" width="35.0"/>
    <col customWidth="1" min="7" max="7" width="48.0"/>
    <col customWidth="1" min="8" max="8" width="14.57"/>
    <col customWidth="1" min="9" max="9" width="15.0"/>
    <col customWidth="1" min="10" max="10" width="20.0"/>
    <col customWidth="1" min="11" max="11" width="15.29"/>
    <col customWidth="1" min="12" max="12" width="20.0"/>
    <col customWidth="1" min="13" max="13" width="15.57"/>
    <col customWidth="1" min="14" max="14" width="20.0"/>
    <col customWidth="1" min="15" max="15" width="22.0"/>
    <col customWidth="1" min="16" max="16" width="12.0"/>
    <col customWidth="1" min="17" max="17" width="13.43"/>
    <col customWidth="1" min="18" max="39" width="8.71"/>
  </cols>
  <sheetData>
    <row r="1">
      <c r="A1" s="45" t="s">
        <v>76</v>
      </c>
      <c r="B1" s="45" t="s">
        <v>77</v>
      </c>
      <c r="C1" s="45" t="s">
        <v>78</v>
      </c>
      <c r="D1" s="45" t="s">
        <v>79</v>
      </c>
      <c r="E1" s="45" t="s">
        <v>80</v>
      </c>
      <c r="F1" s="45" t="s">
        <v>81</v>
      </c>
      <c r="G1" s="45" t="s">
        <v>82</v>
      </c>
      <c r="H1" s="45" t="s">
        <v>83</v>
      </c>
      <c r="I1" s="45" t="s">
        <v>84</v>
      </c>
      <c r="J1" s="45" t="s">
        <v>85</v>
      </c>
      <c r="K1" s="45" t="s">
        <v>86</v>
      </c>
      <c r="L1" s="45" t="s">
        <v>87</v>
      </c>
      <c r="M1" s="45" t="s">
        <v>88</v>
      </c>
      <c r="N1" s="45" t="s">
        <v>89</v>
      </c>
      <c r="O1" s="45" t="s">
        <v>90</v>
      </c>
      <c r="P1" s="45" t="s">
        <v>91</v>
      </c>
      <c r="Q1" s="46" t="s">
        <v>92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>
      <c r="A2" s="48" t="s">
        <v>93</v>
      </c>
      <c r="B2" s="48" t="s">
        <v>94</v>
      </c>
      <c r="C2" s="48" t="s">
        <v>95</v>
      </c>
      <c r="D2" s="48" t="s">
        <v>96</v>
      </c>
      <c r="E2" s="48" t="s">
        <v>74</v>
      </c>
      <c r="F2" s="48" t="s">
        <v>97</v>
      </c>
      <c r="G2" s="48" t="s">
        <v>98</v>
      </c>
      <c r="H2" s="48">
        <v>2.0</v>
      </c>
      <c r="I2" s="48" t="s">
        <v>99</v>
      </c>
      <c r="J2" s="49"/>
      <c r="K2" s="48" t="b">
        <v>0</v>
      </c>
      <c r="L2" s="49"/>
      <c r="M2" s="48" t="b">
        <v>1</v>
      </c>
      <c r="N2" s="48" t="s">
        <v>100</v>
      </c>
      <c r="O2" s="48" t="s">
        <v>101</v>
      </c>
      <c r="P2" s="48">
        <v>0.0</v>
      </c>
      <c r="Q2" s="48" t="s">
        <v>102</v>
      </c>
    </row>
    <row r="3">
      <c r="A3" s="48" t="s">
        <v>103</v>
      </c>
      <c r="B3" s="48">
        <v>3.46659008E10</v>
      </c>
      <c r="C3" s="48" t="s">
        <v>104</v>
      </c>
      <c r="D3" s="48" t="s">
        <v>105</v>
      </c>
      <c r="E3" s="48" t="s">
        <v>60</v>
      </c>
      <c r="F3" s="48" t="s">
        <v>106</v>
      </c>
      <c r="G3" s="48" t="s">
        <v>107</v>
      </c>
      <c r="H3" s="48">
        <v>8.0</v>
      </c>
      <c r="I3" s="48" t="s">
        <v>108</v>
      </c>
      <c r="J3" s="49"/>
      <c r="K3" s="48" t="b">
        <v>0</v>
      </c>
      <c r="L3" s="48"/>
      <c r="M3" s="48" t="b">
        <v>0</v>
      </c>
      <c r="N3" s="48" t="s">
        <v>109</v>
      </c>
      <c r="O3" s="48" t="s">
        <v>110</v>
      </c>
      <c r="P3" s="48">
        <v>15.0</v>
      </c>
      <c r="Q3" s="48" t="s">
        <v>102</v>
      </c>
    </row>
    <row r="4">
      <c r="A4" s="48" t="s">
        <v>111</v>
      </c>
      <c r="B4" s="48" t="s">
        <v>112</v>
      </c>
      <c r="C4" s="48" t="s">
        <v>113</v>
      </c>
      <c r="D4" s="48" t="s">
        <v>114</v>
      </c>
      <c r="E4" s="48" t="s">
        <v>72</v>
      </c>
      <c r="F4" s="48" t="s">
        <v>115</v>
      </c>
      <c r="G4" s="48" t="s">
        <v>116</v>
      </c>
      <c r="H4" s="48">
        <v>7.0</v>
      </c>
      <c r="I4" s="48" t="s">
        <v>108</v>
      </c>
      <c r="J4" s="49"/>
      <c r="K4" s="48" t="b">
        <v>1</v>
      </c>
      <c r="L4" s="48" t="s">
        <v>117</v>
      </c>
      <c r="M4" s="48" t="b">
        <v>0</v>
      </c>
      <c r="N4" s="48" t="s">
        <v>118</v>
      </c>
      <c r="O4" s="48" t="s">
        <v>119</v>
      </c>
      <c r="P4" s="48">
        <v>15.0</v>
      </c>
      <c r="Q4" s="48" t="s">
        <v>102</v>
      </c>
    </row>
    <row r="5">
      <c r="A5" s="48" t="s">
        <v>120</v>
      </c>
      <c r="B5" s="48" t="s">
        <v>121</v>
      </c>
      <c r="C5" s="48" t="s">
        <v>122</v>
      </c>
      <c r="D5" s="48" t="s">
        <v>123</v>
      </c>
      <c r="E5" s="48" t="s">
        <v>72</v>
      </c>
      <c r="F5" s="48" t="s">
        <v>124</v>
      </c>
      <c r="G5" s="48" t="s">
        <v>125</v>
      </c>
      <c r="H5" s="48">
        <v>10.0</v>
      </c>
      <c r="I5" s="48" t="s">
        <v>126</v>
      </c>
      <c r="J5" s="49"/>
      <c r="K5" s="48" t="b">
        <v>1</v>
      </c>
      <c r="L5" s="48" t="s">
        <v>127</v>
      </c>
      <c r="M5" s="48" t="b">
        <v>0</v>
      </c>
      <c r="N5" s="48" t="s">
        <v>128</v>
      </c>
      <c r="O5" s="48" t="s">
        <v>129</v>
      </c>
      <c r="P5" s="48">
        <v>15.0</v>
      </c>
      <c r="Q5" s="48" t="s">
        <v>130</v>
      </c>
    </row>
    <row r="6"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7"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15.0"/>
    <col customWidth="1" min="3" max="3" width="20.29"/>
    <col customWidth="1" min="4" max="4" width="20.0"/>
    <col customWidth="1" min="5" max="5" width="15.0"/>
    <col customWidth="1" min="6" max="6" width="25.0"/>
    <col customWidth="1" min="7" max="7" width="16.86"/>
    <col customWidth="1" min="8" max="8" width="35.0"/>
    <col customWidth="1" min="9" max="9" width="20.0"/>
    <col customWidth="1" min="10" max="10" width="12.0"/>
    <col customWidth="1" min="11" max="26" width="8.71"/>
  </cols>
  <sheetData>
    <row r="1">
      <c r="A1" s="50" t="s">
        <v>90</v>
      </c>
      <c r="B1" s="50" t="s">
        <v>131</v>
      </c>
      <c r="C1" s="50" t="s">
        <v>132</v>
      </c>
      <c r="D1" s="50" t="s">
        <v>133</v>
      </c>
      <c r="E1" s="50" t="s">
        <v>134</v>
      </c>
      <c r="F1" s="50" t="s">
        <v>135</v>
      </c>
      <c r="G1" s="50" t="s">
        <v>136</v>
      </c>
      <c r="H1" s="50" t="s">
        <v>137</v>
      </c>
      <c r="I1" s="50" t="s">
        <v>89</v>
      </c>
      <c r="J1" s="50" t="s">
        <v>91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8" t="s">
        <v>138</v>
      </c>
      <c r="B2" s="48">
        <v>3.4613018226E10</v>
      </c>
      <c r="C2" s="48">
        <v>3.46130202E10</v>
      </c>
      <c r="D2" s="48" t="s">
        <v>96</v>
      </c>
      <c r="E2" s="48" t="s">
        <v>95</v>
      </c>
      <c r="F2" s="48" t="s">
        <v>139</v>
      </c>
      <c r="G2" s="51">
        <v>1.0</v>
      </c>
      <c r="H2" s="48" t="s">
        <v>140</v>
      </c>
      <c r="I2" s="48" t="s">
        <v>141</v>
      </c>
      <c r="J2" s="51">
        <v>15.0</v>
      </c>
    </row>
    <row r="3">
      <c r="A3" s="48" t="s">
        <v>110</v>
      </c>
      <c r="B3" s="48">
        <v>3.46659008E10</v>
      </c>
      <c r="C3" s="48">
        <v>3.46659008E10</v>
      </c>
      <c r="D3" s="48" t="s">
        <v>142</v>
      </c>
      <c r="E3" s="48" t="s">
        <v>104</v>
      </c>
      <c r="F3" s="48" t="s">
        <v>143</v>
      </c>
      <c r="G3" s="51">
        <v>1.0</v>
      </c>
      <c r="H3" s="48" t="s">
        <v>144</v>
      </c>
      <c r="I3" s="48" t="s">
        <v>145</v>
      </c>
      <c r="J3" s="51">
        <v>15.0</v>
      </c>
    </row>
    <row r="4">
      <c r="A4" s="48" t="s">
        <v>129</v>
      </c>
      <c r="B4" s="48">
        <v>3.466098067E10</v>
      </c>
      <c r="C4" s="48">
        <v>3.466098067E10</v>
      </c>
      <c r="D4" s="48" t="s">
        <v>146</v>
      </c>
      <c r="E4" s="48" t="s">
        <v>122</v>
      </c>
      <c r="F4" s="48" t="s">
        <v>147</v>
      </c>
      <c r="G4" s="51">
        <v>1.0</v>
      </c>
      <c r="H4" s="48" t="s">
        <v>125</v>
      </c>
      <c r="I4" s="48" t="s">
        <v>128</v>
      </c>
      <c r="J4" s="51">
        <v>15.0</v>
      </c>
    </row>
    <row r="5">
      <c r="A5" s="48" t="s">
        <v>119</v>
      </c>
      <c r="B5" s="48">
        <v>3.465540003E10</v>
      </c>
      <c r="C5" s="48">
        <v>3.465540003E10</v>
      </c>
      <c r="D5" s="48" t="s">
        <v>148</v>
      </c>
      <c r="E5" s="48" t="s">
        <v>113</v>
      </c>
      <c r="F5" s="48" t="s">
        <v>149</v>
      </c>
      <c r="G5" s="51">
        <v>1.0</v>
      </c>
      <c r="H5" s="48" t="s">
        <v>116</v>
      </c>
      <c r="I5" s="48" t="s">
        <v>118</v>
      </c>
      <c r="J5" s="51">
        <v>15.0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5.0"/>
    <col customWidth="1" min="3" max="3" width="22.0"/>
    <col customWidth="1" min="4" max="4" width="12.0"/>
    <col customWidth="1" min="5" max="5" width="20.0"/>
    <col customWidth="1" min="6" max="6" width="17.0"/>
    <col customWidth="1" min="7" max="7" width="18.0"/>
    <col customWidth="1" min="8" max="8" width="12.0"/>
    <col customWidth="1" min="9" max="9" width="18.0"/>
    <col customWidth="1" min="10" max="11" width="30.0"/>
    <col customWidth="1" min="12" max="14" width="20.0"/>
    <col customWidth="1" min="15" max="15" width="12.0"/>
    <col customWidth="1" min="16" max="16" width="18.0"/>
    <col customWidth="1" min="17" max="17" width="10.0"/>
    <col customWidth="1" min="18" max="18" width="30.0"/>
    <col customWidth="1" min="19" max="19" width="20.0"/>
    <col customWidth="1" min="20" max="32" width="8.71"/>
  </cols>
  <sheetData>
    <row r="1">
      <c r="A1" s="52" t="s">
        <v>150</v>
      </c>
      <c r="B1" s="52" t="s">
        <v>76</v>
      </c>
      <c r="C1" s="52" t="s">
        <v>90</v>
      </c>
      <c r="D1" s="52" t="s">
        <v>151</v>
      </c>
      <c r="E1" s="52" t="s">
        <v>152</v>
      </c>
      <c r="F1" s="52" t="s">
        <v>153</v>
      </c>
      <c r="G1" s="52" t="s">
        <v>154</v>
      </c>
      <c r="H1" s="52" t="s">
        <v>155</v>
      </c>
      <c r="I1" s="52" t="s">
        <v>156</v>
      </c>
      <c r="J1" s="52" t="s">
        <v>157</v>
      </c>
      <c r="K1" s="52" t="s">
        <v>158</v>
      </c>
      <c r="L1" s="52" t="s">
        <v>159</v>
      </c>
      <c r="M1" s="52" t="s">
        <v>160</v>
      </c>
      <c r="N1" s="52" t="s">
        <v>87</v>
      </c>
      <c r="O1" s="52" t="s">
        <v>161</v>
      </c>
      <c r="P1" s="52" t="s">
        <v>162</v>
      </c>
      <c r="Q1" s="52" t="s">
        <v>163</v>
      </c>
      <c r="R1" s="52" t="s">
        <v>164</v>
      </c>
      <c r="S1" s="52" t="s">
        <v>165</v>
      </c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</row>
    <row r="2">
      <c r="A2" s="48" t="s">
        <v>166</v>
      </c>
      <c r="B2" s="48" t="s">
        <v>167</v>
      </c>
      <c r="C2" s="48" t="s">
        <v>138</v>
      </c>
      <c r="D2" s="48" t="s">
        <v>95</v>
      </c>
      <c r="E2" s="48" t="s">
        <v>96</v>
      </c>
      <c r="F2" s="48">
        <v>3.46130202E10</v>
      </c>
      <c r="G2" s="48" t="s">
        <v>168</v>
      </c>
      <c r="H2" s="48" t="s">
        <v>169</v>
      </c>
      <c r="I2" s="48" t="s">
        <v>72</v>
      </c>
      <c r="J2" s="48" t="s">
        <v>170</v>
      </c>
      <c r="K2" s="48" t="s">
        <v>171</v>
      </c>
      <c r="L2" s="48" t="s">
        <v>172</v>
      </c>
      <c r="M2" s="48" t="s">
        <v>173</v>
      </c>
      <c r="N2" s="48" t="s">
        <v>174</v>
      </c>
      <c r="O2" s="48" t="b">
        <v>0</v>
      </c>
      <c r="P2" s="49"/>
      <c r="Q2" s="48" t="b">
        <v>0</v>
      </c>
      <c r="R2" s="49"/>
      <c r="S2" s="48" t="s">
        <v>175</v>
      </c>
    </row>
    <row r="3">
      <c r="A3" s="48" t="s">
        <v>176</v>
      </c>
      <c r="B3" s="48" t="s">
        <v>120</v>
      </c>
      <c r="C3" s="48" t="s">
        <v>129</v>
      </c>
      <c r="D3" s="48" t="s">
        <v>122</v>
      </c>
      <c r="E3" s="48" t="s">
        <v>146</v>
      </c>
      <c r="F3" s="48">
        <v>3.466098067E10</v>
      </c>
      <c r="G3" s="48" t="s">
        <v>168</v>
      </c>
      <c r="H3" s="48" t="s">
        <v>169</v>
      </c>
      <c r="I3" s="48" t="s">
        <v>72</v>
      </c>
      <c r="J3" s="48" t="s">
        <v>177</v>
      </c>
      <c r="K3" s="48" t="s">
        <v>178</v>
      </c>
      <c r="L3" s="48" t="s">
        <v>179</v>
      </c>
      <c r="M3" s="48" t="s">
        <v>180</v>
      </c>
      <c r="N3" s="48" t="s">
        <v>127</v>
      </c>
      <c r="O3" s="48" t="b">
        <v>0</v>
      </c>
      <c r="P3" s="49"/>
      <c r="Q3" s="48" t="b">
        <v>0</v>
      </c>
      <c r="R3" s="48"/>
      <c r="S3" s="48" t="s">
        <v>181</v>
      </c>
    </row>
    <row r="4">
      <c r="A4" s="48" t="s">
        <v>182</v>
      </c>
      <c r="B4" s="48" t="s">
        <v>183</v>
      </c>
      <c r="C4" s="48" t="s">
        <v>110</v>
      </c>
      <c r="D4" s="48" t="s">
        <v>104</v>
      </c>
      <c r="E4" s="48" t="s">
        <v>142</v>
      </c>
      <c r="F4" s="48">
        <v>3.46659008E10</v>
      </c>
      <c r="G4" s="48" t="s">
        <v>168</v>
      </c>
      <c r="H4" s="48" t="s">
        <v>169</v>
      </c>
      <c r="I4" s="48" t="s">
        <v>72</v>
      </c>
      <c r="J4" s="48" t="s">
        <v>177</v>
      </c>
      <c r="K4" s="48" t="s">
        <v>184</v>
      </c>
      <c r="L4" s="48" t="s">
        <v>179</v>
      </c>
      <c r="M4" s="48" t="s">
        <v>185</v>
      </c>
      <c r="N4" s="48" t="s">
        <v>186</v>
      </c>
      <c r="O4" s="48" t="b">
        <v>0</v>
      </c>
      <c r="P4" s="49"/>
      <c r="Q4" s="48" t="b">
        <v>0</v>
      </c>
      <c r="R4" s="48"/>
      <c r="S4" s="48" t="s">
        <v>187</v>
      </c>
    </row>
    <row r="5">
      <c r="A5" s="48" t="s">
        <v>188</v>
      </c>
      <c r="B5" s="48" t="s">
        <v>111</v>
      </c>
      <c r="C5" s="48" t="s">
        <v>119</v>
      </c>
      <c r="D5" s="48" t="s">
        <v>113</v>
      </c>
      <c r="E5" s="48" t="s">
        <v>148</v>
      </c>
      <c r="F5" s="48">
        <v>3.465540003E10</v>
      </c>
      <c r="G5" s="48" t="s">
        <v>168</v>
      </c>
      <c r="H5" s="48" t="s">
        <v>169</v>
      </c>
      <c r="I5" s="48" t="s">
        <v>72</v>
      </c>
      <c r="J5" s="48" t="s">
        <v>177</v>
      </c>
      <c r="K5" s="48" t="s">
        <v>189</v>
      </c>
      <c r="L5" s="48" t="s">
        <v>179</v>
      </c>
      <c r="M5" s="48" t="s">
        <v>190</v>
      </c>
      <c r="N5" s="48" t="s">
        <v>117</v>
      </c>
      <c r="O5" s="48" t="b">
        <v>0</v>
      </c>
      <c r="P5" s="49"/>
      <c r="Q5" s="48" t="b">
        <v>0</v>
      </c>
      <c r="R5" s="48"/>
      <c r="S5" s="48" t="s">
        <v>191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0.0"/>
    <col customWidth="1" min="3" max="3" width="18.0"/>
    <col customWidth="1" min="4" max="4" width="25.0"/>
    <col customWidth="1" min="5" max="5" width="12.0"/>
    <col customWidth="1" min="6" max="6" width="20.0"/>
    <col customWidth="1" min="7" max="7" width="30.0"/>
    <col customWidth="1" min="8" max="9" width="20.0"/>
    <col customWidth="1" min="10" max="26" width="8.71"/>
  </cols>
  <sheetData>
    <row r="1">
      <c r="A1" s="54" t="s">
        <v>76</v>
      </c>
      <c r="B1" s="54" t="s">
        <v>192</v>
      </c>
      <c r="C1" s="54" t="s">
        <v>193</v>
      </c>
      <c r="D1" s="54" t="s">
        <v>194</v>
      </c>
      <c r="E1" s="54" t="s">
        <v>151</v>
      </c>
      <c r="F1" s="54" t="s">
        <v>152</v>
      </c>
      <c r="G1" s="54" t="s">
        <v>195</v>
      </c>
      <c r="H1" s="54" t="s">
        <v>196</v>
      </c>
      <c r="I1" s="54" t="s">
        <v>197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5"/>
      <c r="B2" s="55"/>
      <c r="C2" s="55"/>
      <c r="D2" s="55"/>
      <c r="E2" s="55"/>
      <c r="F2" s="55"/>
      <c r="G2" s="55"/>
      <c r="H2" s="55"/>
      <c r="I2" s="55"/>
    </row>
    <row r="3">
      <c r="A3" s="55"/>
      <c r="B3" s="55"/>
      <c r="C3" s="55"/>
      <c r="D3" s="55"/>
      <c r="E3" s="55"/>
      <c r="F3" s="55"/>
      <c r="G3" s="55"/>
      <c r="H3" s="55"/>
      <c r="I3" s="55"/>
    </row>
    <row r="4">
      <c r="A4" s="55"/>
      <c r="B4" s="55"/>
      <c r="C4" s="55"/>
      <c r="D4" s="55"/>
      <c r="E4" s="55"/>
      <c r="F4" s="55"/>
      <c r="G4" s="55"/>
      <c r="H4" s="55"/>
      <c r="I4" s="55"/>
    </row>
    <row r="5">
      <c r="A5" s="55"/>
      <c r="B5" s="55"/>
      <c r="C5" s="55"/>
      <c r="D5" s="55"/>
      <c r="E5" s="55"/>
      <c r="F5" s="55"/>
      <c r="G5" s="55"/>
      <c r="H5" s="55"/>
      <c r="I5" s="55"/>
    </row>
    <row r="6">
      <c r="A6" s="55"/>
      <c r="B6" s="55"/>
      <c r="C6" s="55"/>
      <c r="D6" s="55"/>
      <c r="E6" s="55"/>
      <c r="F6" s="55"/>
      <c r="G6" s="55"/>
      <c r="H6" s="55"/>
      <c r="I6" s="55"/>
    </row>
    <row r="7">
      <c r="A7" s="55"/>
      <c r="B7" s="55"/>
      <c r="C7" s="55"/>
      <c r="D7" s="55"/>
      <c r="E7" s="55"/>
      <c r="F7" s="55"/>
      <c r="G7" s="55"/>
      <c r="H7" s="55"/>
      <c r="I7" s="55"/>
    </row>
    <row r="8">
      <c r="A8" s="55"/>
      <c r="B8" s="55"/>
      <c r="C8" s="55"/>
      <c r="D8" s="55"/>
      <c r="E8" s="55"/>
      <c r="F8" s="55"/>
      <c r="G8" s="55"/>
      <c r="H8" s="55"/>
      <c r="I8" s="55"/>
    </row>
    <row r="9">
      <c r="A9" s="55"/>
      <c r="B9" s="55"/>
      <c r="C9" s="55"/>
      <c r="D9" s="55"/>
      <c r="E9" s="55"/>
      <c r="F9" s="55"/>
      <c r="G9" s="55"/>
      <c r="H9" s="55"/>
      <c r="I9" s="55"/>
    </row>
    <row r="10">
      <c r="A10" s="55"/>
      <c r="B10" s="55"/>
      <c r="C10" s="55"/>
      <c r="D10" s="55"/>
      <c r="E10" s="55"/>
      <c r="F10" s="55"/>
      <c r="G10" s="55"/>
      <c r="H10" s="55"/>
      <c r="I10" s="55"/>
    </row>
    <row r="11">
      <c r="A11" s="55"/>
      <c r="B11" s="55"/>
      <c r="C11" s="55"/>
      <c r="D11" s="55"/>
      <c r="E11" s="55"/>
      <c r="F11" s="55"/>
      <c r="G11" s="55"/>
      <c r="H11" s="55"/>
      <c r="I11" s="55"/>
    </row>
    <row r="12">
      <c r="A12" s="55"/>
      <c r="B12" s="55"/>
      <c r="C12" s="55"/>
      <c r="D12" s="55"/>
      <c r="E12" s="55"/>
      <c r="F12" s="55"/>
      <c r="G12" s="55"/>
      <c r="H12" s="55"/>
      <c r="I12" s="55"/>
    </row>
    <row r="13">
      <c r="A13" s="55"/>
      <c r="B13" s="55"/>
      <c r="C13" s="55"/>
      <c r="D13" s="55"/>
      <c r="E13" s="55"/>
      <c r="F13" s="55"/>
      <c r="G13" s="55"/>
      <c r="H13" s="55"/>
      <c r="I13" s="55"/>
    </row>
    <row r="14">
      <c r="A14" s="55"/>
      <c r="B14" s="55"/>
      <c r="C14" s="55"/>
      <c r="D14" s="55"/>
      <c r="E14" s="55"/>
      <c r="F14" s="55"/>
      <c r="G14" s="55"/>
      <c r="H14" s="55"/>
      <c r="I14" s="55"/>
    </row>
    <row r="15">
      <c r="A15" s="55"/>
      <c r="B15" s="55"/>
      <c r="C15" s="55"/>
      <c r="D15" s="55"/>
      <c r="E15" s="55"/>
      <c r="F15" s="55"/>
      <c r="G15" s="55"/>
      <c r="H15" s="55"/>
      <c r="I15" s="55"/>
    </row>
    <row r="16">
      <c r="A16" s="55"/>
      <c r="B16" s="55"/>
      <c r="C16" s="55"/>
      <c r="D16" s="55"/>
      <c r="E16" s="55"/>
      <c r="F16" s="55"/>
      <c r="G16" s="55"/>
      <c r="H16" s="55"/>
      <c r="I16" s="55"/>
    </row>
    <row r="17">
      <c r="A17" s="55"/>
      <c r="B17" s="55"/>
      <c r="C17" s="55"/>
      <c r="D17" s="55"/>
      <c r="E17" s="55"/>
      <c r="F17" s="55"/>
      <c r="G17" s="55"/>
      <c r="H17" s="55"/>
      <c r="I17" s="55"/>
    </row>
    <row r="18">
      <c r="A18" s="55"/>
      <c r="B18" s="55"/>
      <c r="C18" s="55"/>
      <c r="D18" s="55"/>
      <c r="E18" s="55"/>
      <c r="F18" s="55"/>
      <c r="G18" s="55"/>
      <c r="H18" s="55"/>
      <c r="I18" s="55"/>
    </row>
    <row r="19">
      <c r="A19" s="55"/>
      <c r="B19" s="55"/>
      <c r="C19" s="55"/>
      <c r="D19" s="55"/>
      <c r="E19" s="55"/>
      <c r="F19" s="55"/>
      <c r="G19" s="55"/>
      <c r="H19" s="55"/>
      <c r="I19" s="55"/>
    </row>
    <row r="20">
      <c r="A20" s="55"/>
      <c r="B20" s="55"/>
      <c r="C20" s="55"/>
      <c r="D20" s="55"/>
      <c r="E20" s="55"/>
      <c r="F20" s="55"/>
      <c r="G20" s="55"/>
      <c r="H20" s="55"/>
      <c r="I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20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4" width="20.0"/>
    <col customWidth="1" min="5" max="5" width="15.0"/>
    <col customWidth="1" min="6" max="6" width="20.0"/>
    <col customWidth="1" min="7" max="26" width="8.71"/>
  </cols>
  <sheetData>
    <row r="1">
      <c r="A1" s="54" t="s">
        <v>198</v>
      </c>
      <c r="B1" s="54" t="s">
        <v>199</v>
      </c>
      <c r="C1" s="54" t="s">
        <v>200</v>
      </c>
      <c r="D1" s="54" t="s">
        <v>201</v>
      </c>
      <c r="E1" s="54" t="s">
        <v>202</v>
      </c>
      <c r="F1" s="54" t="s">
        <v>203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48">
        <v>3.0</v>
      </c>
      <c r="B2" s="48">
        <v>3.0</v>
      </c>
      <c r="C2" s="48">
        <v>3.0</v>
      </c>
      <c r="D2" s="48">
        <v>3.0</v>
      </c>
      <c r="E2" s="48">
        <v>3.0</v>
      </c>
      <c r="F2" s="48" t="s">
        <v>204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